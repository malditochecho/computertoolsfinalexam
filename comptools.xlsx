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io/Library/Mobile Documents/com~apple~CloudDocs/LaSalle/Semester 1/Computer Tools/finalexam/"/>
    </mc:Choice>
  </mc:AlternateContent>
  <xr:revisionPtr revIDLastSave="0" documentId="13_ncr:1_{7B6C3E90-69B3-504C-A182-21CC41E1696B}" xr6:coauthVersionLast="47" xr6:coauthVersionMax="47" xr10:uidLastSave="{00000000-0000-0000-0000-000000000000}"/>
  <bookViews>
    <workbookView xWindow="0" yWindow="880" windowWidth="41120" windowHeight="23620" activeTab="4" xr2:uid="{052786C4-F627-0249-8731-9E9FE5074294}"/>
  </bookViews>
  <sheets>
    <sheet name="1" sheetId="1" r:id="rId1"/>
    <sheet name="2" sheetId="2" r:id="rId2"/>
    <sheet name="3" sheetId="3" r:id="rId3"/>
    <sheet name="4" sheetId="5" r:id="rId4"/>
    <sheet name="5" sheetId="6" r:id="rId5"/>
  </sheets>
  <definedNames>
    <definedName name="_xlnm._FilterDatabase" localSheetId="0" hidden="1">'1'!$A$1:$H$13</definedName>
    <definedName name="_xlnm._FilterDatabase" localSheetId="1" hidden="1">'2'!$A$1:$H$13</definedName>
    <definedName name="_xlnm._FilterDatabase" localSheetId="2" hidden="1">'3'!$A$1:$H$13</definedName>
    <definedName name="_xlnm._FilterDatabase" localSheetId="3" hidden="1">'4'!$A$1:$H$14</definedName>
    <definedName name="_xlnm._FilterDatabase" localSheetId="4" hidden="1">'5'!$A$1:$H$14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4" i="6" l="1"/>
  <c r="H13" i="6"/>
  <c r="H12" i="6"/>
  <c r="H11" i="6"/>
  <c r="H10" i="6"/>
  <c r="H9" i="6"/>
  <c r="H8" i="6"/>
  <c r="H7" i="6"/>
  <c r="H6" i="6"/>
  <c r="H5" i="6"/>
  <c r="H4" i="6"/>
  <c r="H3" i="6"/>
  <c r="H2" i="6"/>
  <c r="H14" i="5"/>
  <c r="H14" i="3"/>
  <c r="H13" i="5"/>
  <c r="H12" i="5"/>
  <c r="H11" i="5"/>
  <c r="H10" i="5"/>
  <c r="H9" i="5"/>
  <c r="H8" i="5"/>
  <c r="H7" i="5"/>
  <c r="H6" i="5"/>
  <c r="H5" i="5"/>
  <c r="H4" i="5"/>
  <c r="H3" i="5"/>
  <c r="H2" i="5"/>
  <c r="H13" i="3"/>
  <c r="H12" i="3"/>
  <c r="H11" i="3"/>
  <c r="H10" i="3"/>
  <c r="H9" i="3"/>
  <c r="H8" i="3"/>
  <c r="H7" i="3"/>
  <c r="H6" i="3"/>
  <c r="H5" i="3"/>
  <c r="H4" i="3"/>
  <c r="H3" i="3"/>
  <c r="H2" i="3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<sst xmlns="http://schemas.openxmlformats.org/spreadsheetml/2006/main" count="280" uniqueCount="22">
  <si>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</si>
  <si>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</si>
  <si>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</si>
  <si>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</si>
  <si>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</si>
  <si>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</si>
  <si>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</si>
  <si>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</si>
  <si>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</si>
  <si>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West</t>
  </si>
  <si>
    <t>Boston</t>
  </si>
  <si>
    <t>Los Angeles</t>
  </si>
  <si>
    <t>New York</t>
  </si>
  <si>
    <t>Bars</t>
  </si>
  <si>
    <t>Crackers</t>
  </si>
  <si>
    <t>Cookies</t>
  </si>
  <si>
    <t>Snacks</t>
  </si>
  <si>
    <t>Carrot</t>
  </si>
  <si>
    <t>Whole Wheat</t>
  </si>
  <si>
    <t>Chocolate Chip</t>
  </si>
  <si>
    <t>Arrowroot</t>
  </si>
  <si>
    <t>Potato Chips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</si>
</sst>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679A-520C-364B-81A6-C16E5D2E29D1}">
  <dimension ref="A1:H13"/>
  <sheetViews>
    <sheetView zoomScale="158" workbookViewId="0">
      <selection activeCell="C16" sqref="C16"/>
    </sheetView>
  </sheetViews>
  <sheetFormatPr baseColWidth="10" defaultRowHeight="16" x14ac:dyDescent="0.2"/>
  <cols>
    <col min="1" max="1" width="13.6640625" customWidth="1"/>
    <col min="2" max="2" width="13.33203125" customWidth="1"/>
    <col min="3" max="3" width="14.5" customWidth="1"/>
    <col min="4" max="4" width="10.83203125" bestFit="1" customWidth="1"/>
    <col min="5" max="5" width="16.1640625" customWidth="1"/>
    <col min="6" max="6" width="10.6640625" bestFit="1" customWidth="1"/>
    <col min="7" max="7" width="11.1640625" bestFit="1" customWidth="1"/>
    <col min="8" max="8" width="11.83203125" bestFit="1" customWidth="1"/>
  </cols>
  <sheetData>
    <row r="1" spans="1:8" x14ac:dyDescent="0.2">
      <c r="A1" s="1" t="s">
        <v>0</v>
      </c>
      <c r="B1" s="6" t="s">
        <v>1</v>
      </c>
      <c r="C1" s="6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43831</v>
      </c>
      <c r="B2" s="1" t="s">
        <v>8</v>
      </c>
      <c r="C2" s="1" t="s">
        <v>10</v>
      </c>
      <c r="D2" s="1" t="s">
        <v>13</v>
      </c>
      <c r="E2" s="1" t="s">
        <v>17</v>
      </c>
      <c r="F2" s="1">
        <v>33</v>
      </c>
      <c r="G2" s="1">
        <v>1.77</v>
      </c>
      <c r="H2" s="1"/>
    </row>
    <row r="3" spans="1:8" x14ac:dyDescent="0.2">
      <c r="A3" s="2">
        <v>43834</v>
      </c>
      <c r="B3" s="1" t="s">
        <v>8</v>
      </c>
      <c r="C3" s="1" t="s">
        <v>10</v>
      </c>
      <c r="D3" s="1" t="s">
        <v>14</v>
      </c>
      <c r="E3" s="1" t="s">
        <v>18</v>
      </c>
      <c r="F3" s="1">
        <v>87</v>
      </c>
      <c r="G3" s="1">
        <v>3.49</v>
      </c>
      <c r="H3" s="1"/>
    </row>
    <row r="4" spans="1:8" x14ac:dyDescent="0.2">
      <c r="A4" s="2">
        <v>43837</v>
      </c>
      <c r="B4" s="1" t="s">
        <v>9</v>
      </c>
      <c r="C4" s="1" t="s">
        <v>11</v>
      </c>
      <c r="D4" s="1" t="s">
        <v>15</v>
      </c>
      <c r="E4" s="1" t="s">
        <v>19</v>
      </c>
      <c r="F4" s="1">
        <v>58</v>
      </c>
      <c r="G4" s="1">
        <v>1.87</v>
      </c>
      <c r="H4" s="1"/>
    </row>
    <row r="5" spans="1:8" x14ac:dyDescent="0.2">
      <c r="A5" s="2">
        <v>43840</v>
      </c>
      <c r="B5" s="1" t="s">
        <v>8</v>
      </c>
      <c r="C5" s="1" t="s">
        <v>12</v>
      </c>
      <c r="D5" s="1" t="s">
        <v>15</v>
      </c>
      <c r="E5" s="1" t="s">
        <v>19</v>
      </c>
      <c r="F5" s="1">
        <v>82</v>
      </c>
      <c r="G5" s="1">
        <v>1.87</v>
      </c>
      <c r="H5" s="1"/>
    </row>
    <row r="6" spans="1:8" x14ac:dyDescent="0.2">
      <c r="A6" s="2">
        <v>43843</v>
      </c>
      <c r="B6" s="1" t="s">
        <v>8</v>
      </c>
      <c r="C6" s="1" t="s">
        <v>10</v>
      </c>
      <c r="D6" s="1" t="s">
        <v>15</v>
      </c>
      <c r="E6" s="1" t="s">
        <v>20</v>
      </c>
      <c r="F6" s="1">
        <v>38</v>
      </c>
      <c r="G6" s="1">
        <v>2.1800000000000002</v>
      </c>
      <c r="H6" s="1"/>
    </row>
    <row r="7" spans="1:8" x14ac:dyDescent="0.2">
      <c r="A7" s="2">
        <v>43846</v>
      </c>
      <c r="B7" s="1" t="s">
        <v>8</v>
      </c>
      <c r="C7" s="1" t="s">
        <v>10</v>
      </c>
      <c r="D7" s="1" t="s">
        <v>13</v>
      </c>
      <c r="E7" s="1" t="s">
        <v>17</v>
      </c>
      <c r="F7" s="1">
        <v>54</v>
      </c>
      <c r="G7" s="1">
        <v>1.77</v>
      </c>
      <c r="H7" s="1"/>
    </row>
    <row r="8" spans="1:8" x14ac:dyDescent="0.2">
      <c r="A8" s="2">
        <v>43849</v>
      </c>
      <c r="B8" s="1" t="s">
        <v>8</v>
      </c>
      <c r="C8" s="1" t="s">
        <v>10</v>
      </c>
      <c r="D8" s="1" t="s">
        <v>14</v>
      </c>
      <c r="E8" s="1" t="s">
        <v>18</v>
      </c>
      <c r="F8" s="1">
        <v>149</v>
      </c>
      <c r="G8" s="1">
        <v>3.49</v>
      </c>
      <c r="H8" s="1"/>
    </row>
    <row r="9" spans="1:8" x14ac:dyDescent="0.2">
      <c r="A9" s="2">
        <v>43852</v>
      </c>
      <c r="B9" s="1" t="s">
        <v>9</v>
      </c>
      <c r="C9" s="1" t="s">
        <v>11</v>
      </c>
      <c r="D9" s="1" t="s">
        <v>13</v>
      </c>
      <c r="E9" s="1" t="s">
        <v>17</v>
      </c>
      <c r="F9" s="1">
        <v>51</v>
      </c>
      <c r="G9" s="1">
        <v>1.77</v>
      </c>
      <c r="H9" s="1"/>
    </row>
    <row r="10" spans="1:8" x14ac:dyDescent="0.2">
      <c r="A10" s="2">
        <v>43855</v>
      </c>
      <c r="B10" s="1" t="s">
        <v>8</v>
      </c>
      <c r="C10" s="1" t="s">
        <v>12</v>
      </c>
      <c r="D10" s="1" t="s">
        <v>13</v>
      </c>
      <c r="E10" s="1" t="s">
        <v>17</v>
      </c>
      <c r="F10" s="1">
        <v>100</v>
      </c>
      <c r="G10" s="1">
        <v>1.77</v>
      </c>
      <c r="H10" s="1"/>
    </row>
    <row r="11" spans="1:8" x14ac:dyDescent="0.2">
      <c r="A11" s="2">
        <v>43858</v>
      </c>
      <c r="B11" s="1" t="s">
        <v>8</v>
      </c>
      <c r="C11" s="1" t="s">
        <v>12</v>
      </c>
      <c r="D11" s="1" t="s">
        <v>16</v>
      </c>
      <c r="E11" s="1" t="s">
        <v>21</v>
      </c>
      <c r="F11" s="1">
        <v>28</v>
      </c>
      <c r="G11" s="1">
        <v>1.35</v>
      </c>
      <c r="H11" s="1"/>
    </row>
    <row r="12" spans="1:8" x14ac:dyDescent="0.2">
      <c r="A12" s="2">
        <v>43861</v>
      </c>
      <c r="B12" s="1" t="s">
        <v>8</v>
      </c>
      <c r="C12" s="3" t="s">
        <v>10</v>
      </c>
      <c r="D12" s="1" t="s">
        <v>15</v>
      </c>
      <c r="E12" s="1" t="s">
        <v>20</v>
      </c>
      <c r="F12" s="1">
        <v>36</v>
      </c>
      <c r="G12" s="1">
        <v>2.1800000000000002</v>
      </c>
      <c r="H12" s="1"/>
    </row>
    <row r="13" spans="1:8" x14ac:dyDescent="0.2">
      <c r="A13" s="2">
        <v>43864</v>
      </c>
      <c r="B13" s="1" t="s">
        <v>8</v>
      </c>
      <c r="C13" s="3" t="s">
        <v>10</v>
      </c>
      <c r="D13" s="1" t="s">
        <v>15</v>
      </c>
      <c r="E13" s="1" t="s">
        <v>19</v>
      </c>
      <c r="F13" s="1">
        <v>31</v>
      </c>
      <c r="G13" s="1">
        <v>1.87</v>
      </c>
      <c r="H13" s="1"/>
    </row>
  </sheetData>
  <autoFilter ref="A1:H13" xr:uid="{91B9679A-520C-364B-81A6-C16E5D2E29D1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F223-BB24-E441-BC30-B1A04A0B5103}">
  <dimension ref="A1:H13"/>
  <sheetViews>
    <sheetView zoomScale="158" workbookViewId="0">
      <selection activeCell="C26" sqref="C26"/>
    </sheetView>
  </sheetViews>
  <sheetFormatPr baseColWidth="10" defaultRowHeight="16" x14ac:dyDescent="0.2"/>
  <cols>
    <col min="1" max="1" width="13.6640625" customWidth="1"/>
    <col min="2" max="2" width="13.33203125" customWidth="1"/>
    <col min="3" max="3" width="14.5" customWidth="1"/>
    <col min="4" max="4" width="10.83203125" bestFit="1" customWidth="1"/>
    <col min="5" max="5" width="16.1640625" customWidth="1"/>
    <col min="6" max="6" width="10.6640625" bestFit="1" customWidth="1"/>
    <col min="7" max="7" width="11.1640625" bestFit="1" customWidth="1"/>
    <col min="8" max="8" width="11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43831</v>
      </c>
      <c r="B2" s="1" t="s">
        <v>8</v>
      </c>
      <c r="C2" s="1" t="s">
        <v>10</v>
      </c>
      <c r="D2" s="1" t="s">
        <v>13</v>
      </c>
      <c r="E2" s="1" t="s">
        <v>17</v>
      </c>
      <c r="F2" s="1">
        <v>33</v>
      </c>
      <c r="G2" s="1">
        <v>1.77</v>
      </c>
      <c r="H2" s="6">
        <f>F2*G2</f>
        <v>58.410000000000004</v>
      </c>
    </row>
    <row r="3" spans="1:8" x14ac:dyDescent="0.2">
      <c r="A3" s="2">
        <v>43834</v>
      </c>
      <c r="B3" s="1" t="s">
        <v>8</v>
      </c>
      <c r="C3" s="1" t="s">
        <v>10</v>
      </c>
      <c r="D3" s="1" t="s">
        <v>14</v>
      </c>
      <c r="E3" s="1" t="s">
        <v>18</v>
      </c>
      <c r="F3" s="1">
        <v>87</v>
      </c>
      <c r="G3" s="1">
        <v>3.49</v>
      </c>
      <c r="H3" s="6">
        <f t="shared" ref="H3:H13" si="0">F3*G3</f>
        <v>303.63</v>
      </c>
    </row>
    <row r="4" spans="1:8" x14ac:dyDescent="0.2">
      <c r="A4" s="2">
        <v>43837</v>
      </c>
      <c r="B4" s="1" t="s">
        <v>9</v>
      </c>
      <c r="C4" s="1" t="s">
        <v>11</v>
      </c>
      <c r="D4" s="1" t="s">
        <v>15</v>
      </c>
      <c r="E4" s="1" t="s">
        <v>19</v>
      </c>
      <c r="F4" s="1">
        <v>58</v>
      </c>
      <c r="G4" s="1">
        <v>1.87</v>
      </c>
      <c r="H4" s="6">
        <f t="shared" si="0"/>
        <v>108.46000000000001</v>
      </c>
    </row>
    <row r="5" spans="1:8" x14ac:dyDescent="0.2">
      <c r="A5" s="2">
        <v>43840</v>
      </c>
      <c r="B5" s="1" t="s">
        <v>8</v>
      </c>
      <c r="C5" s="1" t="s">
        <v>12</v>
      </c>
      <c r="D5" s="1" t="s">
        <v>15</v>
      </c>
      <c r="E5" s="1" t="s">
        <v>19</v>
      </c>
      <c r="F5" s="1">
        <v>82</v>
      </c>
      <c r="G5" s="1">
        <v>1.87</v>
      </c>
      <c r="H5" s="6">
        <f t="shared" si="0"/>
        <v>153.34</v>
      </c>
    </row>
    <row r="6" spans="1:8" x14ac:dyDescent="0.2">
      <c r="A6" s="2">
        <v>43843</v>
      </c>
      <c r="B6" s="1" t="s">
        <v>8</v>
      </c>
      <c r="C6" s="1" t="s">
        <v>10</v>
      </c>
      <c r="D6" s="1" t="s">
        <v>15</v>
      </c>
      <c r="E6" s="1" t="s">
        <v>20</v>
      </c>
      <c r="F6" s="1">
        <v>38</v>
      </c>
      <c r="G6" s="1">
        <v>2.1800000000000002</v>
      </c>
      <c r="H6" s="6">
        <f t="shared" si="0"/>
        <v>82.84</v>
      </c>
    </row>
    <row r="7" spans="1:8" x14ac:dyDescent="0.2">
      <c r="A7" s="2">
        <v>43846</v>
      </c>
      <c r="B7" s="1" t="s">
        <v>8</v>
      </c>
      <c r="C7" s="1" t="s">
        <v>10</v>
      </c>
      <c r="D7" s="1" t="s">
        <v>13</v>
      </c>
      <c r="E7" s="1" t="s">
        <v>17</v>
      </c>
      <c r="F7" s="1">
        <v>54</v>
      </c>
      <c r="G7" s="1">
        <v>1.77</v>
      </c>
      <c r="H7" s="6">
        <f t="shared" si="0"/>
        <v>95.58</v>
      </c>
    </row>
    <row r="8" spans="1:8" x14ac:dyDescent="0.2">
      <c r="A8" s="2">
        <v>43849</v>
      </c>
      <c r="B8" s="1" t="s">
        <v>8</v>
      </c>
      <c r="C8" s="1" t="s">
        <v>10</v>
      </c>
      <c r="D8" s="1" t="s">
        <v>14</v>
      </c>
      <c r="E8" s="1" t="s">
        <v>18</v>
      </c>
      <c r="F8" s="1">
        <v>149</v>
      </c>
      <c r="G8" s="1">
        <v>3.49</v>
      </c>
      <c r="H8" s="6">
        <f t="shared" si="0"/>
        <v>520.01</v>
      </c>
    </row>
    <row r="9" spans="1:8" x14ac:dyDescent="0.2">
      <c r="A9" s="2">
        <v>43852</v>
      </c>
      <c r="B9" s="1" t="s">
        <v>9</v>
      </c>
      <c r="C9" s="1" t="s">
        <v>11</v>
      </c>
      <c r="D9" s="1" t="s">
        <v>13</v>
      </c>
      <c r="E9" s="1" t="s">
        <v>17</v>
      </c>
      <c r="F9" s="1">
        <v>51</v>
      </c>
      <c r="G9" s="1">
        <v>1.77</v>
      </c>
      <c r="H9" s="6">
        <f t="shared" si="0"/>
        <v>90.27</v>
      </c>
    </row>
    <row r="10" spans="1:8" x14ac:dyDescent="0.2">
      <c r="A10" s="2">
        <v>43855</v>
      </c>
      <c r="B10" s="1" t="s">
        <v>8</v>
      </c>
      <c r="C10" s="1" t="s">
        <v>12</v>
      </c>
      <c r="D10" s="1" t="s">
        <v>13</v>
      </c>
      <c r="E10" s="1" t="s">
        <v>17</v>
      </c>
      <c r="F10" s="1">
        <v>100</v>
      </c>
      <c r="G10" s="1">
        <v>1.77</v>
      </c>
      <c r="H10" s="6">
        <f t="shared" si="0"/>
        <v>177</v>
      </c>
    </row>
    <row r="11" spans="1:8" x14ac:dyDescent="0.2">
      <c r="A11" s="2">
        <v>43858</v>
      </c>
      <c r="B11" s="1" t="s">
        <v>8</v>
      </c>
      <c r="C11" s="1" t="s">
        <v>12</v>
      </c>
      <c r="D11" s="1" t="s">
        <v>16</v>
      </c>
      <c r="E11" s="1" t="s">
        <v>21</v>
      </c>
      <c r="F11" s="1">
        <v>28</v>
      </c>
      <c r="G11" s="1">
        <v>1.35</v>
      </c>
      <c r="H11" s="6">
        <f t="shared" si="0"/>
        <v>37.800000000000004</v>
      </c>
    </row>
    <row r="12" spans="1:8" x14ac:dyDescent="0.2">
      <c r="A12" s="2">
        <v>43861</v>
      </c>
      <c r="B12" s="1" t="s">
        <v>8</v>
      </c>
      <c r="C12" s="3" t="s">
        <v>10</v>
      </c>
      <c r="D12" s="1" t="s">
        <v>15</v>
      </c>
      <c r="E12" s="1" t="s">
        <v>20</v>
      </c>
      <c r="F12" s="1">
        <v>36</v>
      </c>
      <c r="G12" s="1">
        <v>2.1800000000000002</v>
      </c>
      <c r="H12" s="6">
        <f t="shared" si="0"/>
        <v>78.48</v>
      </c>
    </row>
    <row r="13" spans="1:8" x14ac:dyDescent="0.2">
      <c r="A13" s="2">
        <v>43864</v>
      </c>
      <c r="B13" s="1" t="s">
        <v>8</v>
      </c>
      <c r="C13" s="3" t="s">
        <v>10</v>
      </c>
      <c r="D13" s="1" t="s">
        <v>15</v>
      </c>
      <c r="E13" s="1" t="s">
        <v>19</v>
      </c>
      <c r="F13" s="1">
        <v>31</v>
      </c>
      <c r="G13" s="1">
        <v>1.87</v>
      </c>
      <c r="H13" s="6">
        <f t="shared" si="0"/>
        <v>57.970000000000006</v>
      </c>
    </row>
  </sheetData>
  <autoFilter ref="A1:H13" xr:uid="{91B9679A-520C-364B-81A6-C16E5D2E29D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815A-E207-CB47-81AE-4FE3A83D703C}">
  <sheetPr filterMode="1"/>
  <dimension ref="A1:H14"/>
  <sheetViews>
    <sheetView zoomScale="158" workbookViewId="0">
      <selection activeCell="H14" sqref="H14"/>
    </sheetView>
  </sheetViews>
  <sheetFormatPr baseColWidth="10" defaultRowHeight="16" x14ac:dyDescent="0.2"/>
  <cols>
    <col min="1" max="1" width="13.6640625" customWidth="1"/>
    <col min="2" max="2" width="13.33203125" customWidth="1"/>
    <col min="3" max="3" width="14.5" customWidth="1"/>
    <col min="4" max="4" width="10.83203125" bestFit="1" customWidth="1"/>
    <col min="5" max="5" width="16.1640625" customWidth="1"/>
    <col min="6" max="6" width="10.6640625" bestFit="1" customWidth="1"/>
    <col min="7" max="7" width="11.1640625" bestFit="1" customWidth="1"/>
    <col min="8" max="8" width="11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43831</v>
      </c>
      <c r="B2" s="1" t="s">
        <v>8</v>
      </c>
      <c r="C2" s="1" t="s">
        <v>10</v>
      </c>
      <c r="D2" s="1" t="s">
        <v>13</v>
      </c>
      <c r="E2" s="1" t="s">
        <v>17</v>
      </c>
      <c r="F2" s="1">
        <v>33</v>
      </c>
      <c r="G2" s="1">
        <v>1.77</v>
      </c>
      <c r="H2" s="1">
        <f>F2*G2</f>
        <v>58.410000000000004</v>
      </c>
    </row>
    <row r="3" spans="1:8" x14ac:dyDescent="0.2">
      <c r="A3" s="2">
        <v>43834</v>
      </c>
      <c r="B3" s="1" t="s">
        <v>8</v>
      </c>
      <c r="C3" s="1" t="s">
        <v>10</v>
      </c>
      <c r="D3" s="1" t="s">
        <v>14</v>
      </c>
      <c r="E3" s="1" t="s">
        <v>18</v>
      </c>
      <c r="F3" s="1">
        <v>87</v>
      </c>
      <c r="G3" s="1">
        <v>3.49</v>
      </c>
      <c r="H3" s="1">
        <f t="shared" ref="H3:H13" si="0">F3*G3</f>
        <v>303.63</v>
      </c>
    </row>
    <row r="4" spans="1:8" hidden="1" x14ac:dyDescent="0.2">
      <c r="A4" s="2">
        <v>43837</v>
      </c>
      <c r="B4" s="1" t="s">
        <v>9</v>
      </c>
      <c r="C4" s="1" t="s">
        <v>11</v>
      </c>
      <c r="D4" s="1" t="s">
        <v>15</v>
      </c>
      <c r="E4" s="1" t="s">
        <v>19</v>
      </c>
      <c r="F4" s="1">
        <v>58</v>
      </c>
      <c r="G4" s="1">
        <v>1.87</v>
      </c>
      <c r="H4" s="1">
        <f t="shared" si="0"/>
        <v>108.46000000000001</v>
      </c>
    </row>
    <row r="5" spans="1:8" x14ac:dyDescent="0.2">
      <c r="A5" s="2">
        <v>43840</v>
      </c>
      <c r="B5" s="1" t="s">
        <v>8</v>
      </c>
      <c r="C5" s="1" t="s">
        <v>12</v>
      </c>
      <c r="D5" s="1" t="s">
        <v>15</v>
      </c>
      <c r="E5" s="1" t="s">
        <v>19</v>
      </c>
      <c r="F5" s="1">
        <v>82</v>
      </c>
      <c r="G5" s="1">
        <v>1.87</v>
      </c>
      <c r="H5" s="1">
        <f t="shared" si="0"/>
        <v>153.34</v>
      </c>
    </row>
    <row r="6" spans="1:8" x14ac:dyDescent="0.2">
      <c r="A6" s="2">
        <v>43843</v>
      </c>
      <c r="B6" s="1" t="s">
        <v>8</v>
      </c>
      <c r="C6" s="1" t="s">
        <v>10</v>
      </c>
      <c r="D6" s="1" t="s">
        <v>15</v>
      </c>
      <c r="E6" s="1" t="s">
        <v>20</v>
      </c>
      <c r="F6" s="1">
        <v>38</v>
      </c>
      <c r="G6" s="1">
        <v>2.1800000000000002</v>
      </c>
      <c r="H6" s="1">
        <f t="shared" si="0"/>
        <v>82.84</v>
      </c>
    </row>
    <row r="7" spans="1:8" x14ac:dyDescent="0.2">
      <c r="A7" s="2">
        <v>43846</v>
      </c>
      <c r="B7" s="1" t="s">
        <v>8</v>
      </c>
      <c r="C7" s="1" t="s">
        <v>10</v>
      </c>
      <c r="D7" s="1" t="s">
        <v>13</v>
      </c>
      <c r="E7" s="1" t="s">
        <v>17</v>
      </c>
      <c r="F7" s="1">
        <v>54</v>
      </c>
      <c r="G7" s="1">
        <v>1.77</v>
      </c>
      <c r="H7" s="1">
        <f t="shared" si="0"/>
        <v>95.58</v>
      </c>
    </row>
    <row r="8" spans="1:8" x14ac:dyDescent="0.2">
      <c r="A8" s="2">
        <v>43849</v>
      </c>
      <c r="B8" s="1" t="s">
        <v>8</v>
      </c>
      <c r="C8" s="1" t="s">
        <v>10</v>
      </c>
      <c r="D8" s="1" t="s">
        <v>14</v>
      </c>
      <c r="E8" s="1" t="s">
        <v>18</v>
      </c>
      <c r="F8" s="1">
        <v>149</v>
      </c>
      <c r="G8" s="1">
        <v>3.49</v>
      </c>
      <c r="H8" s="1">
        <f t="shared" si="0"/>
        <v>520.01</v>
      </c>
    </row>
    <row r="9" spans="1:8" hidden="1" x14ac:dyDescent="0.2">
      <c r="A9" s="2">
        <v>43852</v>
      </c>
      <c r="B9" s="1" t="s">
        <v>9</v>
      </c>
      <c r="C9" s="1" t="s">
        <v>11</v>
      </c>
      <c r="D9" s="1" t="s">
        <v>13</v>
      </c>
      <c r="E9" s="1" t="s">
        <v>17</v>
      </c>
      <c r="F9" s="1">
        <v>51</v>
      </c>
      <c r="G9" s="1">
        <v>1.77</v>
      </c>
      <c r="H9" s="1">
        <f t="shared" si="0"/>
        <v>90.27</v>
      </c>
    </row>
    <row r="10" spans="1:8" x14ac:dyDescent="0.2">
      <c r="A10" s="2">
        <v>43855</v>
      </c>
      <c r="B10" s="1" t="s">
        <v>8</v>
      </c>
      <c r="C10" s="1" t="s">
        <v>12</v>
      </c>
      <c r="D10" s="1" t="s">
        <v>13</v>
      </c>
      <c r="E10" s="1" t="s">
        <v>17</v>
      </c>
      <c r="F10" s="1">
        <v>100</v>
      </c>
      <c r="G10" s="1">
        <v>1.77</v>
      </c>
      <c r="H10" s="1">
        <f t="shared" si="0"/>
        <v>177</v>
      </c>
    </row>
    <row r="11" spans="1:8" x14ac:dyDescent="0.2">
      <c r="A11" s="2">
        <v>43858</v>
      </c>
      <c r="B11" s="1" t="s">
        <v>8</v>
      </c>
      <c r="C11" s="1" t="s">
        <v>12</v>
      </c>
      <c r="D11" s="1" t="s">
        <v>16</v>
      </c>
      <c r="E11" s="1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2">
      <c r="A12" s="2">
        <v>43861</v>
      </c>
      <c r="B12" s="1" t="s">
        <v>8</v>
      </c>
      <c r="C12" s="3" t="s">
        <v>10</v>
      </c>
      <c r="D12" s="1" t="s">
        <v>15</v>
      </c>
      <c r="E12" s="1" t="s">
        <v>20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2">
      <c r="A13" s="2">
        <v>43864</v>
      </c>
      <c r="B13" s="1" t="s">
        <v>8</v>
      </c>
      <c r="C13" s="3" t="s">
        <v>10</v>
      </c>
      <c r="D13" s="1" t="s">
        <v>15</v>
      </c>
      <c r="E13" s="1" t="s">
        <v>19</v>
      </c>
      <c r="F13" s="1">
        <v>31</v>
      </c>
      <c r="G13" s="1">
        <v>1.87</v>
      </c>
      <c r="H13" s="1">
        <f t="shared" si="0"/>
        <v>57.970000000000006</v>
      </c>
    </row>
    <row r="14" spans="1:8" x14ac:dyDescent="0.2">
      <c r="G14" s="4"/>
      <c r="H14" s="5">
        <f>SUMIF(C2:C13,"Boston",H2:H13)+SUMIF(C2:C13,"New York",H2:H13)</f>
        <v>1565.0600000000002</v>
      </c>
    </row>
  </sheetData>
  <autoFilter ref="A1:H13" xr:uid="{91B9679A-520C-364B-81A6-C16E5D2E29D1}">
    <filterColumn colId="2">
      <filters>
        <filter val="Boston"/>
        <filter val="New York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6738-F339-3647-AAAD-F1B3674EF7E9}">
  <dimension ref="A1:H15"/>
  <sheetViews>
    <sheetView zoomScale="158" workbookViewId="0">
      <selection activeCell="E19" sqref="E19"/>
    </sheetView>
  </sheetViews>
  <sheetFormatPr baseColWidth="10" defaultRowHeight="16" x14ac:dyDescent="0.2"/>
  <cols>
    <col min="1" max="1" width="13.6640625" customWidth="1"/>
    <col min="2" max="2" width="13.33203125" customWidth="1"/>
    <col min="3" max="3" width="14.5" customWidth="1"/>
    <col min="4" max="4" width="10.83203125" bestFit="1" customWidth="1"/>
    <col min="5" max="5" width="16.1640625" customWidth="1"/>
    <col min="6" max="6" width="10.6640625" bestFit="1" customWidth="1"/>
    <col min="7" max="7" width="11.1640625" bestFit="1" customWidth="1"/>
    <col min="8" max="8" width="11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43831</v>
      </c>
      <c r="B2" s="1" t="s">
        <v>8</v>
      </c>
      <c r="C2" s="1" t="s">
        <v>10</v>
      </c>
      <c r="D2" s="1" t="s">
        <v>13</v>
      </c>
      <c r="E2" s="1" t="s">
        <v>17</v>
      </c>
      <c r="F2" s="1">
        <v>33</v>
      </c>
      <c r="G2" s="1">
        <v>1.77</v>
      </c>
      <c r="H2" s="1">
        <f>F2*G2</f>
        <v>58.410000000000004</v>
      </c>
    </row>
    <row r="3" spans="1:8" x14ac:dyDescent="0.2">
      <c r="A3" s="2">
        <v>43834</v>
      </c>
      <c r="B3" s="1" t="s">
        <v>8</v>
      </c>
      <c r="C3" s="1" t="s">
        <v>10</v>
      </c>
      <c r="D3" s="1" t="s">
        <v>14</v>
      </c>
      <c r="E3" s="1" t="s">
        <v>18</v>
      </c>
      <c r="F3" s="1">
        <v>87</v>
      </c>
      <c r="G3" s="1">
        <v>3.49</v>
      </c>
      <c r="H3" s="1">
        <f t="shared" ref="H3:H13" si="0">F3*G3</f>
        <v>303.63</v>
      </c>
    </row>
    <row r="4" spans="1:8" x14ac:dyDescent="0.2">
      <c r="A4" s="2">
        <v>43837</v>
      </c>
      <c r="B4" s="1" t="s">
        <v>9</v>
      </c>
      <c r="C4" s="1" t="s">
        <v>11</v>
      </c>
      <c r="D4" s="1" t="s">
        <v>15</v>
      </c>
      <c r="E4" s="1" t="s">
        <v>19</v>
      </c>
      <c r="F4" s="1">
        <v>58</v>
      </c>
      <c r="G4" s="1">
        <v>1.87</v>
      </c>
      <c r="H4" s="1">
        <f t="shared" si="0"/>
        <v>108.46000000000001</v>
      </c>
    </row>
    <row r="5" spans="1:8" x14ac:dyDescent="0.2">
      <c r="A5" s="2">
        <v>43840</v>
      </c>
      <c r="B5" s="1" t="s">
        <v>8</v>
      </c>
      <c r="C5" s="1" t="s">
        <v>12</v>
      </c>
      <c r="D5" s="1" t="s">
        <v>15</v>
      </c>
      <c r="E5" s="1" t="s">
        <v>19</v>
      </c>
      <c r="F5" s="1">
        <v>82</v>
      </c>
      <c r="G5" s="1">
        <v>1.87</v>
      </c>
      <c r="H5" s="1">
        <f t="shared" si="0"/>
        <v>153.34</v>
      </c>
    </row>
    <row r="6" spans="1:8" x14ac:dyDescent="0.2">
      <c r="A6" s="2">
        <v>43843</v>
      </c>
      <c r="B6" s="1" t="s">
        <v>8</v>
      </c>
      <c r="C6" s="1" t="s">
        <v>10</v>
      </c>
      <c r="D6" s="1" t="s">
        <v>15</v>
      </c>
      <c r="E6" s="1" t="s">
        <v>20</v>
      </c>
      <c r="F6" s="1">
        <v>38</v>
      </c>
      <c r="G6" s="1">
        <v>2.1800000000000002</v>
      </c>
      <c r="H6" s="1">
        <f t="shared" si="0"/>
        <v>82.84</v>
      </c>
    </row>
    <row r="7" spans="1:8" x14ac:dyDescent="0.2">
      <c r="A7" s="2">
        <v>43846</v>
      </c>
      <c r="B7" s="1" t="s">
        <v>8</v>
      </c>
      <c r="C7" s="1" t="s">
        <v>10</v>
      </c>
      <c r="D7" s="1" t="s">
        <v>13</v>
      </c>
      <c r="E7" s="1" t="s">
        <v>17</v>
      </c>
      <c r="F7" s="1">
        <v>54</v>
      </c>
      <c r="G7" s="1">
        <v>1.77</v>
      </c>
      <c r="H7" s="1">
        <f t="shared" si="0"/>
        <v>95.58</v>
      </c>
    </row>
    <row r="8" spans="1:8" x14ac:dyDescent="0.2">
      <c r="A8" s="2">
        <v>43849</v>
      </c>
      <c r="B8" s="1" t="s">
        <v>8</v>
      </c>
      <c r="C8" s="1" t="s">
        <v>10</v>
      </c>
      <c r="D8" s="1" t="s">
        <v>14</v>
      </c>
      <c r="E8" s="1" t="s">
        <v>18</v>
      </c>
      <c r="F8" s="1">
        <v>149</v>
      </c>
      <c r="G8" s="1">
        <v>3.49</v>
      </c>
      <c r="H8" s="1">
        <f t="shared" si="0"/>
        <v>520.01</v>
      </c>
    </row>
    <row r="9" spans="1:8" x14ac:dyDescent="0.2">
      <c r="A9" s="2">
        <v>43852</v>
      </c>
      <c r="B9" s="1" t="s">
        <v>9</v>
      </c>
      <c r="C9" s="1" t="s">
        <v>11</v>
      </c>
      <c r="D9" s="1" t="s">
        <v>13</v>
      </c>
      <c r="E9" s="1" t="s">
        <v>17</v>
      </c>
      <c r="F9" s="1">
        <v>51</v>
      </c>
      <c r="G9" s="1">
        <v>1.77</v>
      </c>
      <c r="H9" s="1">
        <f t="shared" si="0"/>
        <v>90.27</v>
      </c>
    </row>
    <row r="10" spans="1:8" x14ac:dyDescent="0.2">
      <c r="A10" s="2">
        <v>43855</v>
      </c>
      <c r="B10" s="1" t="s">
        <v>8</v>
      </c>
      <c r="C10" s="1" t="s">
        <v>12</v>
      </c>
      <c r="D10" s="1" t="s">
        <v>13</v>
      </c>
      <c r="E10" s="1" t="s">
        <v>17</v>
      </c>
      <c r="F10" s="1">
        <v>100</v>
      </c>
      <c r="G10" s="1">
        <v>1.77</v>
      </c>
      <c r="H10" s="1">
        <f t="shared" si="0"/>
        <v>177</v>
      </c>
    </row>
    <row r="11" spans="1:8" x14ac:dyDescent="0.2">
      <c r="A11" s="2">
        <v>43858</v>
      </c>
      <c r="B11" s="1" t="s">
        <v>8</v>
      </c>
      <c r="C11" s="1" t="s">
        <v>12</v>
      </c>
      <c r="D11" s="1" t="s">
        <v>16</v>
      </c>
      <c r="E11" s="1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2">
      <c r="A12" s="2">
        <v>43861</v>
      </c>
      <c r="B12" s="1" t="s">
        <v>8</v>
      </c>
      <c r="C12" s="3" t="s">
        <v>10</v>
      </c>
      <c r="D12" s="1" t="s">
        <v>15</v>
      </c>
      <c r="E12" s="1" t="s">
        <v>20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2">
      <c r="A13" s="2">
        <v>43864</v>
      </c>
      <c r="B13" s="1" t="s">
        <v>8</v>
      </c>
      <c r="C13" s="3" t="s">
        <v>10</v>
      </c>
      <c r="D13" s="1" t="s">
        <v>15</v>
      </c>
      <c r="E13" s="1" t="s">
        <v>19</v>
      </c>
      <c r="F13" s="1">
        <v>31</v>
      </c>
      <c r="G13" s="1">
        <v>1.87</v>
      </c>
      <c r="H13" s="1">
        <f t="shared" si="0"/>
        <v>57.970000000000006</v>
      </c>
    </row>
    <row r="14" spans="1:8" x14ac:dyDescent="0.2">
      <c r="H14" s="6">
        <f>SUMIFS(H2:H13,B2:B13,"West",E2:E13,"Carrot")</f>
        <v>90.27</v>
      </c>
    </row>
    <row r="15" spans="1:8" x14ac:dyDescent="0.2">
      <c r="H15" s="1"/>
    </row>
  </sheetData>
  <autoFilter ref="A1:H14" xr:uid="{91B9679A-520C-364B-81A6-C16E5D2E29D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1A05C-EA66-9940-8279-C45CE9A33B98}">
  <dimension ref="A1:H15"/>
  <sheetViews>
    <sheetView tabSelected="1" zoomScale="158" workbookViewId="0">
      <selection activeCell="D30" sqref="D30"/>
    </sheetView>
  </sheetViews>
  <sheetFormatPr baseColWidth="10" defaultRowHeight="16" x14ac:dyDescent="0.2"/>
  <cols>
    <col min="1" max="1" width="13.6640625" customWidth="1"/>
    <col min="2" max="2" width="13.33203125" customWidth="1"/>
    <col min="3" max="3" width="14.5" customWidth="1"/>
    <col min="4" max="4" width="10.83203125" bestFit="1" customWidth="1"/>
    <col min="5" max="5" width="16.1640625" customWidth="1"/>
    <col min="6" max="6" width="10.6640625" bestFit="1" customWidth="1"/>
    <col min="7" max="7" width="11.1640625" bestFit="1" customWidth="1"/>
    <col min="8" max="8" width="11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43831</v>
      </c>
      <c r="B2" s="1" t="s">
        <v>8</v>
      </c>
      <c r="C2" s="1" t="s">
        <v>10</v>
      </c>
      <c r="D2" s="1" t="s">
        <v>13</v>
      </c>
      <c r="E2" s="1" t="s">
        <v>17</v>
      </c>
      <c r="F2" s="1">
        <v>33</v>
      </c>
      <c r="G2" s="1">
        <v>1.77</v>
      </c>
      <c r="H2" s="1">
        <f>F2*G2</f>
        <v>58.410000000000004</v>
      </c>
    </row>
    <row r="3" spans="1:8" x14ac:dyDescent="0.2">
      <c r="A3" s="2">
        <v>43834</v>
      </c>
      <c r="B3" s="1" t="s">
        <v>8</v>
      </c>
      <c r="C3" s="1" t="s">
        <v>10</v>
      </c>
      <c r="D3" s="1" t="s">
        <v>14</v>
      </c>
      <c r="E3" s="1" t="s">
        <v>18</v>
      </c>
      <c r="F3" s="1">
        <v>87</v>
      </c>
      <c r="G3" s="1">
        <v>3.49</v>
      </c>
      <c r="H3" s="1">
        <f t="shared" ref="H3:H13" si="0">F3*G3</f>
        <v>303.63</v>
      </c>
    </row>
    <row r="4" spans="1:8" x14ac:dyDescent="0.2">
      <c r="A4" s="2">
        <v>43837</v>
      </c>
      <c r="B4" s="1" t="s">
        <v>9</v>
      </c>
      <c r="C4" s="1" t="s">
        <v>11</v>
      </c>
      <c r="D4" s="1" t="s">
        <v>15</v>
      </c>
      <c r="E4" s="1" t="s">
        <v>19</v>
      </c>
      <c r="F4" s="1">
        <v>58</v>
      </c>
      <c r="G4" s="1">
        <v>1.87</v>
      </c>
      <c r="H4" s="1">
        <f t="shared" si="0"/>
        <v>108.46000000000001</v>
      </c>
    </row>
    <row r="5" spans="1:8" x14ac:dyDescent="0.2">
      <c r="A5" s="2">
        <v>43840</v>
      </c>
      <c r="B5" s="1" t="s">
        <v>8</v>
      </c>
      <c r="C5" s="1" t="s">
        <v>12</v>
      </c>
      <c r="D5" s="1" t="s">
        <v>15</v>
      </c>
      <c r="E5" s="1" t="s">
        <v>19</v>
      </c>
      <c r="F5" s="1">
        <v>82</v>
      </c>
      <c r="G5" s="1">
        <v>1.87</v>
      </c>
      <c r="H5" s="1">
        <f t="shared" si="0"/>
        <v>153.34</v>
      </c>
    </row>
    <row r="6" spans="1:8" x14ac:dyDescent="0.2">
      <c r="A6" s="2">
        <v>43843</v>
      </c>
      <c r="B6" s="1" t="s">
        <v>8</v>
      </c>
      <c r="C6" s="1" t="s">
        <v>10</v>
      </c>
      <c r="D6" s="1" t="s">
        <v>15</v>
      </c>
      <c r="E6" s="1" t="s">
        <v>20</v>
      </c>
      <c r="F6" s="1">
        <v>38</v>
      </c>
      <c r="G6" s="1">
        <v>2.1800000000000002</v>
      </c>
      <c r="H6" s="1">
        <f t="shared" si="0"/>
        <v>82.84</v>
      </c>
    </row>
    <row r="7" spans="1:8" x14ac:dyDescent="0.2">
      <c r="A7" s="2">
        <v>43846</v>
      </c>
      <c r="B7" s="1" t="s">
        <v>8</v>
      </c>
      <c r="C7" s="1" t="s">
        <v>10</v>
      </c>
      <c r="D7" s="1" t="s">
        <v>13</v>
      </c>
      <c r="E7" s="1" t="s">
        <v>17</v>
      </c>
      <c r="F7" s="1">
        <v>54</v>
      </c>
      <c r="G7" s="1">
        <v>1.77</v>
      </c>
      <c r="H7" s="1">
        <f t="shared" si="0"/>
        <v>95.58</v>
      </c>
    </row>
    <row r="8" spans="1:8" x14ac:dyDescent="0.2">
      <c r="A8" s="2">
        <v>43849</v>
      </c>
      <c r="B8" s="1" t="s">
        <v>8</v>
      </c>
      <c r="C8" s="1" t="s">
        <v>10</v>
      </c>
      <c r="D8" s="1" t="s">
        <v>14</v>
      </c>
      <c r="E8" s="1" t="s">
        <v>18</v>
      </c>
      <c r="F8" s="1">
        <v>149</v>
      </c>
      <c r="G8" s="1">
        <v>3.49</v>
      </c>
      <c r="H8" s="1">
        <f t="shared" si="0"/>
        <v>520.01</v>
      </c>
    </row>
    <row r="9" spans="1:8" x14ac:dyDescent="0.2">
      <c r="A9" s="2">
        <v>43852</v>
      </c>
      <c r="B9" s="1" t="s">
        <v>9</v>
      </c>
      <c r="C9" s="1" t="s">
        <v>11</v>
      </c>
      <c r="D9" s="1" t="s">
        <v>13</v>
      </c>
      <c r="E9" s="1" t="s">
        <v>17</v>
      </c>
      <c r="F9" s="1">
        <v>51</v>
      </c>
      <c r="G9" s="1">
        <v>1.77</v>
      </c>
      <c r="H9" s="1">
        <f t="shared" si="0"/>
        <v>90.27</v>
      </c>
    </row>
    <row r="10" spans="1:8" x14ac:dyDescent="0.2">
      <c r="A10" s="2">
        <v>43855</v>
      </c>
      <c r="B10" s="1" t="s">
        <v>8</v>
      </c>
      <c r="C10" s="1" t="s">
        <v>12</v>
      </c>
      <c r="D10" s="1" t="s">
        <v>13</v>
      </c>
      <c r="E10" s="1" t="s">
        <v>17</v>
      </c>
      <c r="F10" s="1">
        <v>100</v>
      </c>
      <c r="G10" s="1">
        <v>1.77</v>
      </c>
      <c r="H10" s="1">
        <f t="shared" si="0"/>
        <v>177</v>
      </c>
    </row>
    <row r="11" spans="1:8" x14ac:dyDescent="0.2">
      <c r="A11" s="2">
        <v>43858</v>
      </c>
      <c r="B11" s="1" t="s">
        <v>8</v>
      </c>
      <c r="C11" s="1" t="s">
        <v>12</v>
      </c>
      <c r="D11" s="1" t="s">
        <v>16</v>
      </c>
      <c r="E11" s="1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2">
      <c r="A12" s="2">
        <v>43861</v>
      </c>
      <c r="B12" s="1" t="s">
        <v>8</v>
      </c>
      <c r="C12" s="3" t="s">
        <v>10</v>
      </c>
      <c r="D12" s="1" t="s">
        <v>15</v>
      </c>
      <c r="E12" s="1" t="s">
        <v>20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2">
      <c r="A13" s="2">
        <v>43864</v>
      </c>
      <c r="B13" s="1" t="s">
        <v>8</v>
      </c>
      <c r="C13" s="3" t="s">
        <v>10</v>
      </c>
      <c r="D13" s="1" t="s">
        <v>15</v>
      </c>
      <c r="E13" s="1" t="s">
        <v>19</v>
      </c>
      <c r="F13" s="1">
        <v>31</v>
      </c>
      <c r="G13" s="1">
        <v>1.87</v>
      </c>
      <c r="H13" s="1">
        <f t="shared" si="0"/>
        <v>57.970000000000006</v>
      </c>
    </row>
    <row r="14" spans="1:8" x14ac:dyDescent="0.2">
      <c r="H14" s="6">
        <f>SUMIFS(H2:H13,B2:B13,"West",E2:E13,"Carrot")</f>
        <v>90.27</v>
      </c>
    </row>
    <row r="15" spans="1:8" x14ac:dyDescent="0.2">
      <c r="H15" s="1"/>
    </row>
  </sheetData>
  <autoFilter ref="A1:H14" xr:uid="{91B9679A-520C-364B-81A6-C16E5D2E29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2022-04-28T19:17:05Z</dcterms:created>
  <dcterms:modified xsi:type="dcterms:W3CDTF">2022-04-28T19:46:13Z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de0556-1f76-452e-9e94-03158f226e4e_Enabled">
    <vt:lpwstr>true</vt:lpwstr>
  </property>
  <property fmtid="{D5CDD505-2E9C-101B-9397-08002B2CF9AE}" pid="3" name="MSIP_Label_cdde0556-1f76-452e-9e94-03158f226e4e_SetDate">
    <vt:lpwstr>2022-04-28T19:17:05Z</vt:lpwstr>
  </property>
  <property fmtid="{D5CDD505-2E9C-101B-9397-08002B2CF9AE}" pid="4" name="MSIP_Label_cdde0556-1f76-452e-9e94-03158f226e4e_Method">
    <vt:lpwstr>Standard</vt:lpwstr>
  </property>
  <property fmtid="{D5CDD505-2E9C-101B-9397-08002B2CF9AE}" pid="5" name="MSIP_Label_cdde0556-1f76-452e-9e94-03158f226e4e_Name">
    <vt:lpwstr>Private</vt:lpwstr>
  </property>
  <property fmtid="{D5CDD505-2E9C-101B-9397-08002B2CF9AE}" pid="6" name="MSIP_Label_cdde0556-1f76-452e-9e94-03158f226e4e_SiteId">
    <vt:lpwstr>7015a19d-0dbb-4c31-8709-253cf07f631f</vt:lpwstr>
  </property>
  <property fmtid="{D5CDD505-2E9C-101B-9397-08002B2CF9AE}" pid="7" name="MSIP_Label_cdde0556-1f76-452e-9e94-03158f226e4e_ActionId">
    <vt:lpwstr>ee0d482e-ef15-4bb4-af11-c31a15fe03c1</vt:lpwstr>
  </property>
  <property fmtid="{D5CDD505-2E9C-101B-9397-08002B2CF9AE}" pid="8" name="MSIP_Label_cdde0556-1f76-452e-9e94-03158f226e4e_ContentBits">
    <vt:lpwstr>0</vt:lpwstr>
  </property>
</Properties>
</file>